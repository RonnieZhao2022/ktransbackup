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派送表" sheetId="1" r:id="rId1"/>
    <sheet name="卸柜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<sst xmlns="http://schemas.openxmlformats.org/spreadsheetml/2006/main" count="81" uniqueCount="60">
  <si>
    <t>CARGO  PACKING  LIST</t>
  </si>
  <si>
    <t>船名/航次VESSEL</t>
  </si>
  <si>
    <t>SM QINGDAO 2601E</t>
  </si>
  <si>
    <r>
      <rPr>
        <b/>
        <sz val="11"/>
        <rFont val="Arial"/>
        <charset val="0"/>
      </rPr>
      <t>SPECIAL NOTE/</t>
    </r>
    <r>
      <rPr>
        <b/>
        <sz val="11"/>
        <rFont val="宋体"/>
        <charset val="0"/>
      </rPr>
      <t>特殊指示：</t>
    </r>
    <r>
      <rPr>
        <b/>
        <sz val="11"/>
        <rFont val="Arial"/>
        <charset val="0"/>
      </rPr>
      <t xml:space="preserve"> 1.</t>
    </r>
    <r>
      <rPr>
        <b/>
        <sz val="11"/>
        <rFont val="宋体"/>
        <charset val="0"/>
      </rPr>
      <t>分票报关</t>
    </r>
  </si>
  <si>
    <t>箱封号 CONTAINER#：</t>
  </si>
  <si>
    <t>SMCU1025555/SML315746</t>
  </si>
  <si>
    <t>目的港 POD</t>
  </si>
  <si>
    <t>TORONTO</t>
  </si>
  <si>
    <t>1*40HQ</t>
  </si>
  <si>
    <t>品名</t>
  </si>
  <si>
    <t>进仓编号</t>
  </si>
  <si>
    <t>shipment ID</t>
  </si>
  <si>
    <t>唛头</t>
  </si>
  <si>
    <t>柜号</t>
  </si>
  <si>
    <t>托数</t>
  </si>
  <si>
    <t>箱数</t>
  </si>
  <si>
    <t>件数</t>
  </si>
  <si>
    <t>PO listing</t>
  </si>
  <si>
    <t>FBA仓</t>
  </si>
  <si>
    <t>方数</t>
  </si>
  <si>
    <t>重量</t>
  </si>
  <si>
    <t>派送方式</t>
  </si>
  <si>
    <t>Printer Stand</t>
  </si>
  <si>
    <t>BJHSC2601113</t>
  </si>
  <si>
    <t>FBA195S472X1</t>
  </si>
  <si>
    <t>SMCU1025555</t>
  </si>
  <si>
    <t>8ZXDAF3Z</t>
  </si>
  <si>
    <t>YOO1</t>
  </si>
  <si>
    <t>海卡</t>
  </si>
  <si>
    <t>BJHSC2601116QM</t>
  </si>
  <si>
    <t>FBA195X8C315</t>
  </si>
  <si>
    <t>8P7ZXVVO</t>
  </si>
  <si>
    <t>SHEET SETS</t>
  </si>
  <si>
    <t>SZLYDF26010140QM</t>
  </si>
  <si>
    <t>FBA195TYT99Y</t>
  </si>
  <si>
    <t>5OTA2IKY</t>
  </si>
  <si>
    <t>YHM1</t>
  </si>
  <si>
    <t>PVC MATS</t>
  </si>
  <si>
    <t>LUP-YZ26010558-QM</t>
  </si>
  <si>
    <t>FBA195JX5HC1</t>
  </si>
  <si>
    <t>42OKAFJF</t>
  </si>
  <si>
    <t>Camping outdoor mat</t>
  </si>
  <si>
    <t>LUP-YZ26010175-1-QM</t>
  </si>
  <si>
    <t>FBA19511ZNZS</t>
  </si>
  <si>
    <t>2XOTK32T</t>
  </si>
  <si>
    <t>FBA19512WF7J</t>
  </si>
  <si>
    <t>3ASGH3ZM</t>
  </si>
  <si>
    <t>FBA195139QG7</t>
  </si>
  <si>
    <t>3L51D3XS</t>
  </si>
  <si>
    <t>FBA19510SP55</t>
  </si>
  <si>
    <t>3W8KYR3E</t>
  </si>
  <si>
    <t>FBA19511Y6J3</t>
  </si>
  <si>
    <t>6PPEMQ7L</t>
  </si>
  <si>
    <t>FBA19513D5Q3</t>
  </si>
  <si>
    <t>56KWO36Y</t>
  </si>
  <si>
    <t>TTL</t>
  </si>
  <si>
    <t>唛头/MARK</t>
  </si>
  <si>
    <t>DELIVERY,ADD
送货地址</t>
  </si>
  <si>
    <t>预估托数</t>
  </si>
  <si>
    <t>实际托数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</si>
</sst>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  <numFmt numFmtId="177" formatCode="0.000_ "/>
    <numFmt numFmtId="178" formatCode="0.00_ "/>
  </numFmts>
  <fonts count="34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b/>
      <sz val="20"/>
      <color indexed="8"/>
      <name val="宋体"/>
      <charset val="134"/>
    </font>
    <font>
      <b/>
      <sz val="11"/>
      <name val="Arial"/>
      <charset val="0"/>
    </font>
    <font>
      <sz val="14"/>
      <color rgb="FFFF0000"/>
      <name val="宋体"/>
      <charset val="134"/>
    </font>
    <font>
      <b/>
      <sz val="16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1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left" vertical="top"/>
    </xf>
    <xf numFmtId="14" fontId="5" fillId="2" borderId="9" xfId="0" applyNumberFormat="1" applyFont="1" applyFill="1" applyBorder="1" applyAlignment="1">
      <alignment horizontal="left" vertical="top"/>
    </xf>
    <xf numFmtId="14" fontId="5" fillId="0" borderId="10" xfId="0" applyNumberFormat="1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left" vertical="top"/>
    </xf>
    <xf numFmtId="14" fontId="5" fillId="2" borderId="12" xfId="0" applyNumberFormat="1" applyFont="1" applyFill="1" applyBorder="1" applyAlignment="1">
      <alignment horizontal="left" vertical="top"/>
    </xf>
    <xf numFmtId="14" fontId="5" fillId="0" borderId="13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178" fontId="0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7" xfId="50"/>
    <cellStyle name="常规 5" xfId="51"/>
    <cellStyle name="常规_Sheet1" xfId="52"/>
    <cellStyle name="常规 2" xfId="53"/>
    <cellStyle name="常规 10 4 2 2 2 2 2 2 2 2 3 2 2 2 2 2 2 2" xfId="54"/>
    <cellStyle name="常规 2 2 2 2" xfId="55"/>
  </cellStyles>
  <tableStyles count="0" defaultTableStyle="TableStyleMedium2" defaultPivotStyle="PivotStyleLight16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A10" sqref="A10"/>
    </sheetView>
  </sheetViews>
  <sheetFormatPr defaultColWidth="9" defaultRowHeight="13.5"/>
  <cols>
    <col min="1" max="1" width="37.625" customWidth="1"/>
    <col min="2" max="2" width="21" customWidth="1"/>
    <col min="3" max="3" width="25.875" customWidth="1"/>
    <col min="4" max="4" width="20.375" customWidth="1"/>
    <col min="5" max="5" width="18" customWidth="1"/>
    <col min="6" max="6" width="7.5" customWidth="1"/>
    <col min="7" max="7" width="8.125" style="8" customWidth="1"/>
    <col min="8" max="8" width="7.25833333333333" style="10" customWidth="1"/>
    <col min="9" max="9" width="14.375" customWidth="1"/>
    <col min="10" max="10" width="19.125" customWidth="1"/>
    <col min="11" max="11" width="10.625" style="11" customWidth="1"/>
    <col min="12" max="12" width="9.625" style="11" customWidth="1"/>
    <col min="13" max="13" width="10.5" customWidth="1"/>
    <col min="14" max="14" width="34.5" customWidth="1"/>
  </cols>
  <sheetData>
    <row r="1" ht="25.5" spans="1:14">
      <c r="A1" s="12" t="s">
        <v>0</v>
      </c>
      <c r="B1" s="13"/>
      <c r="C1" s="13"/>
      <c r="D1" s="13"/>
      <c r="E1" s="13"/>
      <c r="F1" s="13"/>
      <c r="G1" s="14"/>
    </row>
    <row r="2" ht="18.75" spans="1:14">
      <c r="A2" s="15" t="s">
        <v>1</v>
      </c>
      <c r="B2" s="16" t="s">
        <v>2</v>
      </c>
      <c r="C2" s="17"/>
      <c r="D2" s="18" t="s">
        <v>3</v>
      </c>
      <c r="E2" s="19"/>
      <c r="F2" s="19"/>
      <c r="G2" s="20"/>
    </row>
    <row r="3" ht="18.75" spans="1:14">
      <c r="A3" s="15" t="s">
        <v>4</v>
      </c>
      <c r="B3" s="21" t="s">
        <v>5</v>
      </c>
      <c r="C3" s="22"/>
      <c r="D3" s="23"/>
      <c r="E3" s="24"/>
      <c r="F3" s="24"/>
      <c r="G3" s="25"/>
    </row>
    <row r="4" ht="20.25" spans="1:14">
      <c r="A4" s="26" t="s">
        <v>6</v>
      </c>
      <c r="B4" s="27" t="s">
        <v>7</v>
      </c>
      <c r="C4" s="27"/>
      <c r="D4" s="28" t="s">
        <v>8</v>
      </c>
      <c r="E4" s="28"/>
      <c r="F4" s="28"/>
      <c r="G4" s="29"/>
    </row>
    <row r="7" ht="30" customHeight="1" spans="1:14">
      <c r="A7" s="30" t="s">
        <v>9</v>
      </c>
      <c r="B7" s="31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3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4" t="s">
        <v>20</v>
      </c>
      <c r="M7" s="30" t="s">
        <v>21</v>
      </c>
      <c r="N7" s="35"/>
    </row>
    <row r="8" s="8" customFormat="1" ht="36" customHeight="1" spans="1:14">
      <c r="A8" s="36" t="s">
        <v>22</v>
      </c>
      <c r="B8" s="37" t="s">
        <v>23</v>
      </c>
      <c r="C8" s="37" t="s">
        <v>24</v>
      </c>
      <c r="D8" s="37" t="s">
        <v>23</v>
      </c>
      <c r="E8" s="38" t="s">
        <v>25</v>
      </c>
      <c r="F8" s="39">
        <v>13</v>
      </c>
      <c r="G8" s="40">
        <v>325</v>
      </c>
      <c r="H8" s="40">
        <v>325</v>
      </c>
      <c r="I8" s="31" t="s">
        <v>26</v>
      </c>
      <c r="J8" s="41" t="s">
        <v>27</v>
      </c>
      <c r="K8" s="42">
        <v>20.56</v>
      </c>
      <c r="L8" s="43">
        <v>4702</v>
      </c>
      <c r="M8" s="43" t="s">
        <v>28</v>
      </c>
      <c r="N8" s="11"/>
    </row>
    <row r="9" s="8" customFormat="1" ht="36" customHeight="1" spans="1:14">
      <c r="A9" s="44" t="s">
        <v>22</v>
      </c>
      <c r="B9" s="45" t="s">
        <v>29</v>
      </c>
      <c r="C9" s="37" t="s">
        <v>30</v>
      </c>
      <c r="D9" s="45" t="s">
        <v>29</v>
      </c>
      <c r="E9" s="38"/>
      <c r="F9" s="46">
        <v>15</v>
      </c>
      <c r="G9" s="47">
        <v>330</v>
      </c>
      <c r="H9" s="47">
        <v>330</v>
      </c>
      <c r="I9" s="48" t="s">
        <v>31</v>
      </c>
      <c r="J9" s="41" t="s">
        <v>27</v>
      </c>
      <c r="K9" s="49">
        <v>23.42</v>
      </c>
      <c r="L9" s="50">
        <v>8171.1</v>
      </c>
      <c r="M9" s="43" t="s">
        <v>28</v>
      </c>
      <c r="N9" s="51"/>
    </row>
    <row r="10" s="9" customFormat="1" ht="36" customHeight="1" spans="1:14">
      <c r="A10" s="36" t="s">
        <v>32</v>
      </c>
      <c r="B10" s="37" t="s">
        <v>33</v>
      </c>
      <c r="C10" s="37" t="s">
        <v>34</v>
      </c>
      <c r="D10" s="37" t="s">
        <v>33</v>
      </c>
      <c r="E10" s="52"/>
      <c r="F10" s="39">
        <v>1</v>
      </c>
      <c r="G10" s="40">
        <v>47</v>
      </c>
      <c r="H10" s="40">
        <v>235</v>
      </c>
      <c r="I10" s="31" t="s">
        <v>35</v>
      </c>
      <c r="J10" s="41" t="s">
        <v>36</v>
      </c>
      <c r="K10" s="42">
        <v>2.08</v>
      </c>
      <c r="L10" s="43">
        <v>638</v>
      </c>
      <c r="M10" s="43" t="s">
        <v>28</v>
      </c>
      <c r="N10" s="53"/>
    </row>
    <row r="11" s="8" customFormat="1" ht="36" customHeight="1" spans="1:14">
      <c r="A11" s="36" t="s">
        <v>37</v>
      </c>
      <c r="B11" s="37" t="s">
        <v>38</v>
      </c>
      <c r="C11" s="37" t="s">
        <v>39</v>
      </c>
      <c r="D11" s="37" t="s">
        <v>38</v>
      </c>
      <c r="E11" s="38"/>
      <c r="F11" s="39">
        <v>11</v>
      </c>
      <c r="G11" s="40">
        <v>199</v>
      </c>
      <c r="H11" s="40">
        <v>1102</v>
      </c>
      <c r="I11" s="31" t="s">
        <v>40</v>
      </c>
      <c r="J11" s="41" t="s">
        <v>36</v>
      </c>
      <c r="K11" s="42">
        <v>18.38</v>
      </c>
      <c r="L11" s="43">
        <v>3552.5</v>
      </c>
      <c r="M11" s="43" t="s">
        <v>28</v>
      </c>
      <c r="N11" s="11"/>
    </row>
    <row r="12" s="8" customFormat="1" ht="36" customHeight="1" spans="1:14">
      <c r="A12" s="44" t="s">
        <v>41</v>
      </c>
      <c r="B12" s="45" t="s">
        <v>42</v>
      </c>
      <c r="C12" s="37" t="s">
        <v>43</v>
      </c>
      <c r="D12" s="45" t="s">
        <v>42</v>
      </c>
      <c r="E12" s="38"/>
      <c r="F12" s="46">
        <v>2</v>
      </c>
      <c r="G12" s="40">
        <v>12</v>
      </c>
      <c r="H12" s="47">
        <v>208</v>
      </c>
      <c r="I12" s="31" t="s">
        <v>44</v>
      </c>
      <c r="J12" s="54" t="s">
        <v>36</v>
      </c>
      <c r="K12" s="42">
        <v>0.86</v>
      </c>
      <c r="L12" s="43">
        <v>90</v>
      </c>
      <c r="M12" s="50" t="s">
        <v>28</v>
      </c>
      <c r="N12" s="11"/>
    </row>
    <row r="13" s="8" customFormat="1" ht="36" customHeight="1" spans="1:14">
      <c r="A13" s="55"/>
      <c r="B13" s="56"/>
      <c r="C13" s="37" t="s">
        <v>45</v>
      </c>
      <c r="D13" s="56"/>
      <c r="E13" s="38"/>
      <c r="F13" s="57"/>
      <c r="G13" s="40">
        <v>8</v>
      </c>
      <c r="H13" s="58"/>
      <c r="I13" s="31" t="s">
        <v>46</v>
      </c>
      <c r="J13" s="59"/>
      <c r="K13" s="42">
        <v>0.64</v>
      </c>
      <c r="L13" s="43">
        <v>68</v>
      </c>
      <c r="M13" s="60"/>
      <c r="N13" s="11"/>
    </row>
    <row r="14" s="8" customFormat="1" ht="36" customHeight="1" spans="1:14">
      <c r="A14" s="55"/>
      <c r="B14" s="56"/>
      <c r="C14" s="37" t="s">
        <v>47</v>
      </c>
      <c r="D14" s="56"/>
      <c r="E14" s="38"/>
      <c r="F14" s="57"/>
      <c r="G14" s="40">
        <v>6</v>
      </c>
      <c r="H14" s="58"/>
      <c r="I14" s="31" t="s">
        <v>48</v>
      </c>
      <c r="J14" s="59"/>
      <c r="K14" s="42">
        <v>0.44</v>
      </c>
      <c r="L14" s="43">
        <v>45</v>
      </c>
      <c r="M14" s="60"/>
      <c r="N14" s="11"/>
    </row>
    <row r="15" s="8" customFormat="1" ht="36" customHeight="1" spans="1:14">
      <c r="A15" s="55"/>
      <c r="B15" s="56"/>
      <c r="C15" s="37" t="s">
        <v>49</v>
      </c>
      <c r="D15" s="56"/>
      <c r="E15" s="38"/>
      <c r="F15" s="57"/>
      <c r="G15" s="40">
        <v>11</v>
      </c>
      <c r="H15" s="58"/>
      <c r="I15" s="31" t="s">
        <v>50</v>
      </c>
      <c r="J15" s="59"/>
      <c r="K15" s="42">
        <v>0.8</v>
      </c>
      <c r="L15" s="43">
        <v>93.5</v>
      </c>
      <c r="M15" s="60"/>
      <c r="N15" s="11"/>
    </row>
    <row r="16" s="8" customFormat="1" ht="36" customHeight="1" spans="1:14">
      <c r="A16" s="55"/>
      <c r="B16" s="56"/>
      <c r="C16" s="37" t="s">
        <v>51</v>
      </c>
      <c r="D16" s="56"/>
      <c r="E16" s="38"/>
      <c r="F16" s="57"/>
      <c r="G16" s="40">
        <v>8</v>
      </c>
      <c r="H16" s="58"/>
      <c r="I16" s="31" t="s">
        <v>52</v>
      </c>
      <c r="J16" s="59"/>
      <c r="K16" s="42">
        <v>0.57</v>
      </c>
      <c r="L16" s="43">
        <v>60</v>
      </c>
      <c r="M16" s="60"/>
      <c r="N16" s="11"/>
    </row>
    <row r="17" s="8" customFormat="1" ht="36" customHeight="1" spans="1:13">
      <c r="A17" s="61"/>
      <c r="B17" s="62"/>
      <c r="C17" s="37" t="s">
        <v>53</v>
      </c>
      <c r="D17" s="62"/>
      <c r="E17" s="38"/>
      <c r="F17" s="63"/>
      <c r="G17" s="40">
        <v>7</v>
      </c>
      <c r="H17" s="64"/>
      <c r="I17" s="31" t="s">
        <v>54</v>
      </c>
      <c r="J17" s="65"/>
      <c r="K17" s="42">
        <v>0.51</v>
      </c>
      <c r="L17" s="43">
        <v>82.6</v>
      </c>
      <c r="M17" s="66"/>
    </row>
    <row r="18" ht="20.5" customHeight="1" spans="1:13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ht="20.5" customHeight="1" spans="1:13">
      <c r="A19" s="67"/>
      <c r="B19" s="68"/>
      <c r="C19" s="68"/>
      <c r="D19" s="68"/>
      <c r="E19" s="68" t="s">
        <v>55</v>
      </c>
      <c r="F19" s="68">
        <f>SUM(F8:F18)</f>
        <v>42</v>
      </c>
      <c r="G19" s="68">
        <f>SUM(G8:G18)</f>
        <v>953</v>
      </c>
      <c r="H19" s="68">
        <f>SUM(H8:H17)</f>
        <v>2200</v>
      </c>
      <c r="I19" s="68"/>
      <c r="J19" s="68"/>
      <c r="K19" s="69">
        <f>SUM(K8:K18)</f>
        <v>68.26</v>
      </c>
      <c r="L19" s="70">
        <f>SUM(L8:L18)</f>
        <v>17502.7</v>
      </c>
      <c r="M19" s="68"/>
    </row>
    <row r="20" customFormat="1" ht="20.5" customHeight="1" spans="1:13">
      <c r="G20" s="8"/>
      <c r="H20" s="71"/>
      <c r="I20" s="71"/>
      <c r="J20" s="71"/>
      <c r="K20" s="71"/>
      <c r="L20" s="71"/>
      <c r="M20" s="71"/>
    </row>
    <row r="21" customFormat="1" spans="1:13">
      <c r="H21" s="10"/>
      <c r="K21" s="35"/>
      <c r="L21" s="35"/>
    </row>
    <row r="22" customFormat="1" spans="1:13">
      <c r="H22" s="10"/>
      <c r="K22" s="35"/>
      <c r="L22" s="35"/>
    </row>
    <row r="23" customFormat="1" spans="1:13">
      <c r="H23" s="10"/>
      <c r="K23" s="35"/>
      <c r="L23" s="35"/>
    </row>
    <row r="24" customFormat="1" spans="1:13">
      <c r="H24" s="10"/>
      <c r="K24" s="35"/>
      <c r="L24" s="35"/>
    </row>
    <row r="25" customFormat="1" spans="1:13">
      <c r="H25" s="10"/>
      <c r="K25" s="35"/>
      <c r="L25" s="35"/>
    </row>
    <row r="26" customFormat="1" spans="1:13">
      <c r="H26" s="10"/>
      <c r="K26" s="35"/>
      <c r="L26" s="35"/>
    </row>
    <row r="27" customFormat="1" spans="1:13">
      <c r="H27" s="10"/>
      <c r="K27" s="35"/>
      <c r="L27" s="35"/>
    </row>
    <row r="28" customFormat="1" spans="1:13">
      <c r="H28" s="10"/>
      <c r="K28" s="35"/>
      <c r="L28" s="35"/>
    </row>
    <row r="29" customFormat="1" spans="1:13">
      <c r="H29" s="10"/>
      <c r="K29" s="35"/>
      <c r="L29" s="35"/>
    </row>
    <row r="30" customFormat="1" spans="1:13">
      <c r="H30" s="10"/>
      <c r="K30" s="35"/>
      <c r="L30" s="35"/>
    </row>
    <row r="31" customFormat="1" spans="1:13">
      <c r="H31" s="10"/>
      <c r="K31" s="35"/>
      <c r="L31" s="35"/>
    </row>
    <row r="32" customFormat="1" spans="1:13">
      <c r="H32" s="10"/>
      <c r="K32" s="35"/>
      <c r="L32" s="35"/>
    </row>
    <row r="33" customFormat="1" spans="8:12">
      <c r="H33" s="10"/>
      <c r="K33" s="35"/>
      <c r="L33" s="35"/>
    </row>
    <row r="34" customFormat="1" spans="8:12">
      <c r="H34" s="10"/>
      <c r="K34" s="35"/>
      <c r="L34" s="35"/>
    </row>
  </sheetData>
  <mergeCells count="13">
    <mergeCell ref="A1:G1"/>
    <mergeCell ref="B2:C2"/>
    <mergeCell ref="B3:C3"/>
    <mergeCell ref="D4:G4"/>
    <mergeCell ref="A12:A17"/>
    <mergeCell ref="B12:B17"/>
    <mergeCell ref="D12:D17"/>
    <mergeCell ref="E8:E17"/>
    <mergeCell ref="F12:F17"/>
    <mergeCell ref="H12:H17"/>
    <mergeCell ref="J12:J17"/>
    <mergeCell ref="M12:M17"/>
    <mergeCell ref="D2:G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4" sqref="D4:D6"/>
    </sheetView>
  </sheetViews>
  <sheetFormatPr defaultColWidth="9" defaultRowHeight="13.5" outlineLevelRow="5" outlineLevelCol="5"/>
  <cols>
    <col min="1" max="1" width="28.25" customWidth="1"/>
    <col min="2" max="2" width="13.7583333333333" customWidth="1"/>
    <col min="3" max="3" width="29.7583333333333" customWidth="1"/>
    <col min="4" max="4" width="12.2583333333333" customWidth="1"/>
    <col min="5" max="5" width="13.2583333333333" customWidth="1"/>
    <col min="6" max="6" width="14.5416666666667" customWidth="1"/>
  </cols>
  <sheetData>
    <row r="1" ht="41" customHeight="1" spans="1:6">
      <c r="A1" s="1" t="s">
        <v>56</v>
      </c>
      <c r="B1" s="1" t="s">
        <v>15</v>
      </c>
      <c r="C1" s="2" t="s">
        <v>57</v>
      </c>
      <c r="D1" s="3" t="s">
        <v>58</v>
      </c>
      <c r="E1" s="3" t="s">
        <v>59</v>
      </c>
      <c r="F1" s="4"/>
    </row>
    <row r="2" ht="18.75" spans="1:6">
      <c r="A2" s="1" t="s">
        <v>23</v>
      </c>
      <c r="B2" s="1">
        <v>325</v>
      </c>
      <c r="C2" s="5" t="s">
        <v>27</v>
      </c>
      <c r="D2" s="5">
        <v>28</v>
      </c>
      <c r="E2" s="5"/>
      <c r="F2" s="4"/>
    </row>
    <row r="3" ht="18.75" spans="1:6">
      <c r="A3" s="1" t="s">
        <v>29</v>
      </c>
      <c r="B3" s="1">
        <v>330</v>
      </c>
      <c r="C3" s="6"/>
      <c r="D3" s="6"/>
      <c r="E3" s="6"/>
      <c r="F3" s="4"/>
    </row>
    <row r="4" ht="18.75" spans="1:6">
      <c r="A4" s="1" t="s">
        <v>33</v>
      </c>
      <c r="B4" s="1">
        <v>47</v>
      </c>
      <c r="C4" s="5" t="s">
        <v>36</v>
      </c>
      <c r="D4" s="5">
        <v>14</v>
      </c>
      <c r="E4" s="5"/>
      <c r="F4" s="4"/>
    </row>
    <row r="5" ht="18.75" spans="1:6">
      <c r="A5" s="1" t="s">
        <v>38</v>
      </c>
      <c r="B5" s="1">
        <v>199</v>
      </c>
      <c r="C5" s="7"/>
      <c r="D5" s="7"/>
      <c r="E5" s="7"/>
      <c r="F5" s="4"/>
    </row>
    <row r="6" ht="18.75" spans="1:6">
      <c r="A6" s="1" t="s">
        <v>42</v>
      </c>
      <c r="B6" s="1">
        <v>52</v>
      </c>
      <c r="C6" s="6"/>
      <c r="D6" s="6"/>
      <c r="E6" s="6"/>
      <c r="F6" s="4"/>
    </row>
  </sheetData>
  <mergeCells count="6">
    <mergeCell ref="C2:C3"/>
    <mergeCell ref="C4:C6"/>
    <mergeCell ref="D2:D3"/>
    <mergeCell ref="D4:D6"/>
    <mergeCell ref="E2:E3"/>
    <mergeCell ref="E4:E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派送表</vt:lpstr>
      <vt:lpstr>卸柜表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WPS_1603158590</cp:lastModifiedBy>
  <dcterms:created xsi:type="dcterms:W3CDTF">2021-04-15T09:21:00Z</dcterms:created>
  <dcterms:modified xsi:type="dcterms:W3CDTF">2026-02-01T04:22:36Z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2B208E4917294674A251D5CE19041496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