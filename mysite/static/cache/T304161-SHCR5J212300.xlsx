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派送表" sheetId="1" r:id="rId1"/>
    <sheet name="卸柜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<sst xmlns="http://schemas.openxmlformats.org/spreadsheetml/2006/main" count="105" uniqueCount="68">
  <si>
    <t>CARGO  PACKING  LIST</t>
  </si>
  <si>
    <t>船名/航次VESSEL</t>
  </si>
  <si>
    <t>SM QINGDAO 2601E</t>
  </si>
  <si>
    <r>
      <rPr>
        <b/>
        <sz val="11"/>
        <rFont val="Arial"/>
        <charset val="0"/>
      </rPr>
      <t>SPECIAL NOTE/</t>
    </r>
    <r>
      <rPr>
        <b/>
        <sz val="11"/>
        <rFont val="宋体"/>
        <charset val="0"/>
      </rPr>
      <t>特殊指示：</t>
    </r>
    <r>
      <rPr>
        <b/>
        <sz val="11"/>
        <rFont val="Arial"/>
        <charset val="0"/>
      </rPr>
      <t xml:space="preserve"> 1.</t>
    </r>
    <r>
      <rPr>
        <b/>
        <sz val="11"/>
        <rFont val="宋体"/>
        <charset val="0"/>
      </rPr>
      <t>分票报关</t>
    </r>
  </si>
  <si>
    <t>箱封号 CONTAINER#：</t>
  </si>
  <si>
    <t>SMCU1118410/SML315733</t>
  </si>
  <si>
    <t>目的港 POD</t>
  </si>
  <si>
    <t>TORONTO</t>
  </si>
  <si>
    <t>1*40HQ</t>
  </si>
  <si>
    <t>品名</t>
  </si>
  <si>
    <t>进仓编号</t>
  </si>
  <si>
    <t>shipment ID</t>
  </si>
  <si>
    <t>唛头</t>
  </si>
  <si>
    <t>柜号</t>
  </si>
  <si>
    <t>托数</t>
  </si>
  <si>
    <t>箱数</t>
  </si>
  <si>
    <t>件数</t>
  </si>
  <si>
    <t>PO listing</t>
  </si>
  <si>
    <t>FBA仓</t>
  </si>
  <si>
    <t>方数</t>
  </si>
  <si>
    <t>重量</t>
  </si>
  <si>
    <t>派送方式</t>
  </si>
  <si>
    <t>tent</t>
  </si>
  <si>
    <t>KTQSY2601044</t>
  </si>
  <si>
    <t>FBA195VBFPKY</t>
  </si>
  <si>
    <t>SMCU1118410</t>
  </si>
  <si>
    <t>4RN1FQAT</t>
  </si>
  <si>
    <t>YGK1</t>
  </si>
  <si>
    <t>海卡</t>
  </si>
  <si>
    <t>BODY PILLOW</t>
  </si>
  <si>
    <t>CNSHTGSE26010019QM</t>
  </si>
  <si>
    <t>FBA195QMGV87</t>
  </si>
  <si>
    <t>49QU4UIF</t>
  </si>
  <si>
    <t>YOO1</t>
  </si>
  <si>
    <t>PVC MATS</t>
  </si>
  <si>
    <t>LUP-YZ26010685-QM</t>
  </si>
  <si>
    <t>FBA195R201XD</t>
  </si>
  <si>
    <t>66IJNW5P</t>
  </si>
  <si>
    <t>winch rope/Kinetic Recovery Rope</t>
  </si>
  <si>
    <t>LUP-HY26010400-QM</t>
  </si>
  <si>
    <t>FBA195PSV6LC</t>
  </si>
  <si>
    <t>8DZWQAPQ</t>
  </si>
  <si>
    <t>YXU1</t>
  </si>
  <si>
    <t>Kinetic Recovery Rope/winch rope/winch rope extension</t>
  </si>
  <si>
    <t>LUP-HY26010401-QM</t>
  </si>
  <si>
    <t>FBA195QGLHZK</t>
  </si>
  <si>
    <t>19JA68WW</t>
  </si>
  <si>
    <t>LUP-YZ26010683-QM</t>
  </si>
  <si>
    <t>FBA195PRLCYG</t>
  </si>
  <si>
    <t>8RBBHOJK</t>
  </si>
  <si>
    <t>SCREWS</t>
  </si>
  <si>
    <t>LUP-HY26010447-QM</t>
  </si>
  <si>
    <t>FBA195P776Z5</t>
  </si>
  <si>
    <t>1FQKQGTA</t>
  </si>
  <si>
    <t>SHEET SETS/DUVET SET/COMFORTER</t>
  </si>
  <si>
    <t>SZLYDF26010141QM</t>
  </si>
  <si>
    <t>FBA195PSRD15</t>
  </si>
  <si>
    <t>22O1O76Q</t>
  </si>
  <si>
    <t>CONNECTOR BASE</t>
  </si>
  <si>
    <t>LUP-HY26010446-QM</t>
  </si>
  <si>
    <t>FBA195LB8RBW</t>
  </si>
  <si>
    <t>8VJ8SM2W</t>
  </si>
  <si>
    <t>YOW3</t>
  </si>
  <si>
    <t>TTL</t>
  </si>
  <si>
    <t>唛头/MARK</t>
  </si>
  <si>
    <t>DELIVERY,ADD
送货地址</t>
  </si>
  <si>
    <t>预估托数</t>
  </si>
  <si>
    <t>实际托数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</si>
</sst>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_ "/>
    <numFmt numFmtId="177" formatCode="0.000_ "/>
    <numFmt numFmtId="178" formatCode="0.00_ "/>
  </numFmts>
  <fonts count="34">
    <font>
      <sz val="11"/>
      <color theme="1"/>
      <name val="宋体"/>
      <charset val="134"/>
      <scheme val="minor"/>
    </font>
    <font>
      <sz val="14"/>
      <color theme="1"/>
      <name val="宋体"/>
      <charset val="134"/>
    </font>
    <font>
      <sz val="14"/>
      <name val="宋体"/>
      <charset val="134"/>
    </font>
    <font>
      <sz val="12"/>
      <name val="宋体"/>
      <charset val="134"/>
    </font>
    <font>
      <b/>
      <sz val="20"/>
      <color indexed="8"/>
      <name val="宋体"/>
      <charset val="134"/>
    </font>
    <font>
      <b/>
      <sz val="11"/>
      <name val="Arial"/>
      <charset val="0"/>
    </font>
    <font>
      <sz val="14"/>
      <color rgb="FFFF0000"/>
      <name val="宋体"/>
      <charset val="134"/>
    </font>
    <font>
      <b/>
      <sz val="16"/>
      <color indexed="8"/>
      <name val="宋体"/>
      <charset val="134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b/>
      <sz val="11"/>
      <name val="宋体"/>
      <charset val="0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4" fontId="5" fillId="2" borderId="8" xfId="0" applyNumberFormat="1" applyFont="1" applyFill="1" applyBorder="1" applyAlignment="1">
      <alignment horizontal="left" vertical="top"/>
    </xf>
    <xf numFmtId="14" fontId="5" fillId="2" borderId="9" xfId="0" applyNumberFormat="1" applyFont="1" applyFill="1" applyBorder="1" applyAlignment="1">
      <alignment horizontal="left" vertical="top"/>
    </xf>
    <xf numFmtId="14" fontId="5" fillId="0" borderId="10" xfId="0" applyNumberFormat="1" applyFont="1" applyFill="1" applyBorder="1" applyAlignment="1">
      <alignment horizontal="left" vertical="top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14" fontId="5" fillId="2" borderId="11" xfId="0" applyNumberFormat="1" applyFont="1" applyFill="1" applyBorder="1" applyAlignment="1">
      <alignment horizontal="left" vertical="top"/>
    </xf>
    <xf numFmtId="14" fontId="5" fillId="2" borderId="12" xfId="0" applyNumberFormat="1" applyFont="1" applyFill="1" applyBorder="1" applyAlignment="1">
      <alignment horizontal="left" vertical="top"/>
    </xf>
    <xf numFmtId="14" fontId="5" fillId="0" borderId="13" xfId="0" applyNumberFormat="1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176" fontId="11" fillId="0" borderId="4" xfId="0" applyNumberFormat="1" applyFont="1" applyFill="1" applyBorder="1" applyAlignment="1">
      <alignment horizontal="center" vertical="center"/>
    </xf>
    <xf numFmtId="0" fontId="11" fillId="0" borderId="1" xfId="0" applyNumberFormat="1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177" fontId="0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2" xfId="0" applyNumberFormat="1" applyFont="1" applyFill="1" applyBorder="1" applyAlignment="1">
      <alignment horizontal="center" vertical="center"/>
    </xf>
    <xf numFmtId="0" fontId="12" fillId="0" borderId="2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ont="1" applyFill="1" applyBorder="1" applyAlignment="1">
      <alignment horizontal="center" vertical="center"/>
    </xf>
    <xf numFmtId="178" fontId="0" fillId="0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76" fontId="11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/>
    </xf>
    <xf numFmtId="0" fontId="11" fillId="0" borderId="3" xfId="0" applyNumberFormat="1" applyFont="1" applyFill="1" applyBorder="1" applyAlignment="1">
      <alignment horizontal="center" vertical="center"/>
    </xf>
    <xf numFmtId="0" fontId="12" fillId="0" borderId="3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177" fontId="0" fillId="0" borderId="3" xfId="0" applyNumberFormat="1" applyFont="1" applyFill="1" applyBorder="1" applyAlignment="1">
      <alignment horizontal="center" vertical="center"/>
    </xf>
    <xf numFmtId="178" fontId="0" fillId="0" borderId="3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77" fontId="12" fillId="0" borderId="1" xfId="0" applyNumberFormat="1" applyFont="1" applyFill="1" applyBorder="1" applyAlignment="1">
      <alignment horizontal="center" vertical="center" wrapText="1"/>
    </xf>
    <xf numFmtId="178" fontId="12" fillId="0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  <cellStyle name="常规 7" xfId="50"/>
    <cellStyle name="常规 5" xfId="51"/>
    <cellStyle name="常规_Sheet1" xfId="52"/>
    <cellStyle name="常规 2" xfId="53"/>
    <cellStyle name="常规 10 4 2 2 2 2 2 2 2 2 3 2 2 2 2 2 2 2" xfId="54"/>
    <cellStyle name="常规 2 2 2 2" xfId="55"/>
  </cellStyles>
  <tableStyles count="0" defaultTableStyle="TableStyleMedium2" defaultPivotStyle="PivotStyleLight16"/>
  <colors>
    <mruColors>
      <color rgb="00FF0000"/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abSelected="1" workbookViewId="0">
      <selection activeCell="F18" sqref="F18"/>
    </sheetView>
  </sheetViews>
  <sheetFormatPr defaultColWidth="9" defaultRowHeight="13.5"/>
  <cols>
    <col min="1" max="1" width="37.625" customWidth="1"/>
    <col min="2" max="2" width="21" customWidth="1"/>
    <col min="3" max="3" width="26.875" customWidth="1"/>
    <col min="4" max="4" width="20" customWidth="1"/>
    <col min="5" max="5" width="18" customWidth="1"/>
    <col min="6" max="6" width="7.5" customWidth="1"/>
    <col min="7" max="7" width="8.125" style="8" customWidth="1"/>
    <col min="8" max="8" width="7.25833333333333" style="10" customWidth="1"/>
    <col min="9" max="9" width="14.375" customWidth="1"/>
    <col min="10" max="10" width="19.125" customWidth="1"/>
    <col min="11" max="11" width="10.625" style="11" customWidth="1"/>
    <col min="12" max="12" width="9.625" style="11" customWidth="1"/>
    <col min="13" max="13" width="10.5" customWidth="1"/>
    <col min="14" max="14" width="34.5" customWidth="1"/>
  </cols>
  <sheetData>
    <row r="1" ht="25.5" spans="1:14">
      <c r="A1" s="12" t="s">
        <v>0</v>
      </c>
      <c r="B1" s="13"/>
      <c r="C1" s="13"/>
      <c r="D1" s="13"/>
      <c r="E1" s="13"/>
      <c r="F1" s="13"/>
      <c r="G1" s="14"/>
    </row>
    <row r="2" ht="18.75" spans="1:14">
      <c r="A2" s="15" t="s">
        <v>1</v>
      </c>
      <c r="B2" s="16" t="s">
        <v>2</v>
      </c>
      <c r="C2" s="17"/>
      <c r="D2" s="18" t="s">
        <v>3</v>
      </c>
      <c r="E2" s="19"/>
      <c r="F2" s="19"/>
      <c r="G2" s="20"/>
    </row>
    <row r="3" ht="18.75" spans="1:14">
      <c r="A3" s="15" t="s">
        <v>4</v>
      </c>
      <c r="B3" s="21" t="s">
        <v>5</v>
      </c>
      <c r="C3" s="22"/>
      <c r="D3" s="23"/>
      <c r="E3" s="24"/>
      <c r="F3" s="24"/>
      <c r="G3" s="25"/>
    </row>
    <row r="4" ht="20.25" spans="1:14">
      <c r="A4" s="26" t="s">
        <v>6</v>
      </c>
      <c r="B4" s="27" t="s">
        <v>7</v>
      </c>
      <c r="C4" s="27"/>
      <c r="D4" s="28" t="s">
        <v>8</v>
      </c>
      <c r="E4" s="28"/>
      <c r="F4" s="28"/>
      <c r="G4" s="29"/>
    </row>
    <row r="7" ht="30" customHeight="1" spans="1:14">
      <c r="A7" s="30" t="s">
        <v>9</v>
      </c>
      <c r="B7" s="31" t="s">
        <v>10</v>
      </c>
      <c r="C7" s="32" t="s">
        <v>11</v>
      </c>
      <c r="D7" s="32" t="s">
        <v>12</v>
      </c>
      <c r="E7" s="32" t="s">
        <v>13</v>
      </c>
      <c r="F7" s="32" t="s">
        <v>14</v>
      </c>
      <c r="G7" s="33" t="s">
        <v>15</v>
      </c>
      <c r="H7" s="32" t="s">
        <v>16</v>
      </c>
      <c r="I7" s="32" t="s">
        <v>17</v>
      </c>
      <c r="J7" s="32" t="s">
        <v>18</v>
      </c>
      <c r="K7" s="32" t="s">
        <v>19</v>
      </c>
      <c r="L7" s="34" t="s">
        <v>20</v>
      </c>
      <c r="M7" s="30" t="s">
        <v>21</v>
      </c>
      <c r="N7" s="35"/>
    </row>
    <row r="8" s="8" customFormat="1" ht="36" customHeight="1" spans="1:14">
      <c r="A8" s="36" t="s">
        <v>22</v>
      </c>
      <c r="B8" s="37" t="s">
        <v>23</v>
      </c>
      <c r="C8" s="37" t="s">
        <v>24</v>
      </c>
      <c r="D8" s="37" t="s">
        <v>23</v>
      </c>
      <c r="E8" s="38" t="s">
        <v>25</v>
      </c>
      <c r="F8" s="39">
        <v>2</v>
      </c>
      <c r="G8" s="40">
        <v>86</v>
      </c>
      <c r="H8" s="40">
        <v>86</v>
      </c>
      <c r="I8" s="31" t="s">
        <v>26</v>
      </c>
      <c r="J8" s="41" t="s">
        <v>27</v>
      </c>
      <c r="K8" s="42">
        <v>3.25</v>
      </c>
      <c r="L8" s="43">
        <v>541.8</v>
      </c>
      <c r="M8" s="43" t="s">
        <v>28</v>
      </c>
      <c r="N8" s="11"/>
    </row>
    <row r="9" s="8" customFormat="1" ht="36" customHeight="1" spans="1:14">
      <c r="A9" s="44" t="s">
        <v>29</v>
      </c>
      <c r="B9" s="45" t="s">
        <v>30</v>
      </c>
      <c r="C9" s="37" t="s">
        <v>31</v>
      </c>
      <c r="D9" s="45" t="s">
        <v>30</v>
      </c>
      <c r="E9" s="38"/>
      <c r="F9" s="46">
        <v>1</v>
      </c>
      <c r="G9" s="47">
        <v>10</v>
      </c>
      <c r="H9" s="47">
        <v>40</v>
      </c>
      <c r="I9" s="48" t="s">
        <v>32</v>
      </c>
      <c r="J9" s="41" t="s">
        <v>33</v>
      </c>
      <c r="K9" s="49">
        <v>1.4</v>
      </c>
      <c r="L9" s="50">
        <v>166</v>
      </c>
      <c r="M9" s="43" t="s">
        <v>28</v>
      </c>
      <c r="N9" s="51"/>
    </row>
    <row r="10" s="9" customFormat="1" ht="36" customHeight="1" spans="1:14">
      <c r="A10" s="36" t="s">
        <v>34</v>
      </c>
      <c r="B10" s="37" t="s">
        <v>35</v>
      </c>
      <c r="C10" s="37" t="s">
        <v>36</v>
      </c>
      <c r="D10" s="37" t="s">
        <v>35</v>
      </c>
      <c r="E10" s="52"/>
      <c r="F10" s="39">
        <v>2</v>
      </c>
      <c r="G10" s="40">
        <v>49</v>
      </c>
      <c r="H10" s="40">
        <v>112</v>
      </c>
      <c r="I10" s="31" t="s">
        <v>37</v>
      </c>
      <c r="J10" s="41" t="s">
        <v>33</v>
      </c>
      <c r="K10" s="42">
        <v>3.94</v>
      </c>
      <c r="L10" s="43">
        <v>777.4</v>
      </c>
      <c r="M10" s="43" t="s">
        <v>28</v>
      </c>
      <c r="N10" s="53"/>
    </row>
    <row r="11" s="8" customFormat="1" ht="36" customHeight="1" spans="1:14">
      <c r="A11" s="54" t="s">
        <v>38</v>
      </c>
      <c r="B11" s="55" t="s">
        <v>39</v>
      </c>
      <c r="C11" s="37" t="s">
        <v>40</v>
      </c>
      <c r="D11" s="55" t="s">
        <v>39</v>
      </c>
      <c r="E11" s="38"/>
      <c r="F11" s="56">
        <v>3</v>
      </c>
      <c r="G11" s="57">
        <v>80</v>
      </c>
      <c r="H11" s="57">
        <v>680</v>
      </c>
      <c r="I11" s="58" t="s">
        <v>41</v>
      </c>
      <c r="J11" s="41" t="s">
        <v>42</v>
      </c>
      <c r="K11" s="59">
        <v>5.2</v>
      </c>
      <c r="L11" s="60">
        <v>1362</v>
      </c>
      <c r="M11" s="43" t="s">
        <v>28</v>
      </c>
      <c r="N11" s="11"/>
    </row>
    <row r="12" s="8" customFormat="1" ht="36" customHeight="1" spans="1:14">
      <c r="A12" s="36" t="s">
        <v>43</v>
      </c>
      <c r="B12" s="37" t="s">
        <v>44</v>
      </c>
      <c r="C12" s="37" t="s">
        <v>45</v>
      </c>
      <c r="D12" s="37" t="s">
        <v>44</v>
      </c>
      <c r="E12" s="38"/>
      <c r="F12" s="39">
        <v>3</v>
      </c>
      <c r="G12" s="40">
        <v>86</v>
      </c>
      <c r="H12" s="40">
        <v>532</v>
      </c>
      <c r="I12" s="31" t="s">
        <v>46</v>
      </c>
      <c r="J12" s="41" t="s">
        <v>42</v>
      </c>
      <c r="K12" s="42">
        <v>5.03</v>
      </c>
      <c r="L12" s="43">
        <v>1231.3</v>
      </c>
      <c r="M12" s="43" t="s">
        <v>28</v>
      </c>
    </row>
    <row r="13" s="8" customFormat="1" ht="36" customHeight="1" spans="1:14">
      <c r="A13" s="36" t="s">
        <v>34</v>
      </c>
      <c r="B13" s="37" t="s">
        <v>47</v>
      </c>
      <c r="C13" s="37" t="s">
        <v>48</v>
      </c>
      <c r="D13" s="37" t="s">
        <v>47</v>
      </c>
      <c r="E13" s="38"/>
      <c r="F13" s="39">
        <v>18</v>
      </c>
      <c r="G13" s="40">
        <v>491</v>
      </c>
      <c r="H13" s="40">
        <v>2449</v>
      </c>
      <c r="I13" s="31" t="s">
        <v>49</v>
      </c>
      <c r="J13" s="41" t="s">
        <v>42</v>
      </c>
      <c r="K13" s="42">
        <v>29.13</v>
      </c>
      <c r="L13" s="43">
        <v>7133.34</v>
      </c>
      <c r="M13" s="43" t="s">
        <v>28</v>
      </c>
    </row>
    <row r="14" s="8" customFormat="1" ht="36" customHeight="1" spans="1:14">
      <c r="A14" s="61" t="s">
        <v>50</v>
      </c>
      <c r="B14" s="62" t="s">
        <v>51</v>
      </c>
      <c r="C14" s="37" t="s">
        <v>52</v>
      </c>
      <c r="D14" s="62" t="s">
        <v>51</v>
      </c>
      <c r="E14" s="38"/>
      <c r="F14" s="39">
        <v>7</v>
      </c>
      <c r="G14" s="40">
        <v>675</v>
      </c>
      <c r="H14" s="40">
        <v>4322</v>
      </c>
      <c r="I14" s="31" t="s">
        <v>53</v>
      </c>
      <c r="J14" s="41" t="s">
        <v>42</v>
      </c>
      <c r="K14" s="42">
        <v>13.86</v>
      </c>
      <c r="L14" s="43">
        <v>8448.71</v>
      </c>
      <c r="M14" s="43" t="s">
        <v>28</v>
      </c>
    </row>
    <row r="15" s="8" customFormat="1" ht="36" customHeight="1" spans="1:14">
      <c r="A15" s="61" t="s">
        <v>54</v>
      </c>
      <c r="B15" s="62" t="s">
        <v>55</v>
      </c>
      <c r="C15" s="37" t="s">
        <v>56</v>
      </c>
      <c r="D15" s="62" t="s">
        <v>55</v>
      </c>
      <c r="E15" s="38"/>
      <c r="F15" s="39">
        <v>2</v>
      </c>
      <c r="G15" s="40">
        <v>51</v>
      </c>
      <c r="H15" s="40">
        <v>251</v>
      </c>
      <c r="I15" s="31" t="s">
        <v>57</v>
      </c>
      <c r="J15" s="41" t="s">
        <v>42</v>
      </c>
      <c r="K15" s="42">
        <v>2.41</v>
      </c>
      <c r="L15" s="43">
        <v>810</v>
      </c>
      <c r="M15" s="43" t="s">
        <v>28</v>
      </c>
    </row>
    <row r="16" s="8" customFormat="1" ht="36" customHeight="1" spans="1:14">
      <c r="A16" s="61" t="s">
        <v>58</v>
      </c>
      <c r="B16" s="62" t="s">
        <v>59</v>
      </c>
      <c r="C16" s="37" t="s">
        <v>60</v>
      </c>
      <c r="D16" s="62" t="s">
        <v>59</v>
      </c>
      <c r="E16" s="38"/>
      <c r="F16" s="39">
        <v>2</v>
      </c>
      <c r="G16" s="40">
        <v>227</v>
      </c>
      <c r="H16" s="40">
        <v>400</v>
      </c>
      <c r="I16" s="31" t="s">
        <v>61</v>
      </c>
      <c r="J16" s="41" t="s">
        <v>62</v>
      </c>
      <c r="K16" s="42">
        <v>3.43</v>
      </c>
      <c r="L16" s="43">
        <v>1247.4</v>
      </c>
      <c r="M16" s="43" t="s">
        <v>28</v>
      </c>
    </row>
    <row r="17" ht="20.5" customHeight="1" spans="1:13">
      <c r="A17" s="63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</row>
    <row r="18" ht="20.5" customHeight="1" spans="1:13">
      <c r="A18" s="63"/>
      <c r="B18" s="64"/>
      <c r="C18" s="64"/>
      <c r="D18" s="64"/>
      <c r="E18" s="64" t="s">
        <v>63</v>
      </c>
      <c r="F18" s="64">
        <f>SUM(F8:F17)</f>
        <v>40</v>
      </c>
      <c r="G18" s="64">
        <f>SUM(G8:G17)</f>
        <v>1755</v>
      </c>
      <c r="H18" s="64">
        <f>SUM(H8:H16)</f>
        <v>8872</v>
      </c>
      <c r="I18" s="64"/>
      <c r="J18" s="64"/>
      <c r="K18" s="65">
        <f>SUM(K8:K17)</f>
        <v>67.65</v>
      </c>
      <c r="L18" s="66">
        <f>SUM(L8:L17)</f>
        <v>21717.95</v>
      </c>
      <c r="M18" s="64"/>
    </row>
    <row r="19" customFormat="1" ht="20.5" customHeight="1" spans="1:13">
      <c r="G19" s="8"/>
      <c r="H19" s="67"/>
      <c r="I19" s="67"/>
      <c r="J19" s="67"/>
      <c r="K19" s="67"/>
      <c r="L19" s="67"/>
      <c r="M19" s="67"/>
    </row>
    <row r="20" customFormat="1" spans="1:13">
      <c r="H20" s="10"/>
      <c r="K20" s="35"/>
      <c r="L20" s="35"/>
    </row>
    <row r="21" customFormat="1" spans="1:13">
      <c r="H21" s="10"/>
      <c r="K21" s="35"/>
      <c r="L21" s="35"/>
    </row>
    <row r="22" customFormat="1" spans="1:13">
      <c r="H22" s="10"/>
      <c r="K22" s="35"/>
      <c r="L22" s="35"/>
    </row>
    <row r="23" customFormat="1" spans="1:13">
      <c r="H23" s="10"/>
      <c r="K23" s="35"/>
      <c r="L23" s="35"/>
    </row>
    <row r="24" customFormat="1" spans="1:13">
      <c r="H24" s="10"/>
      <c r="K24" s="35"/>
      <c r="L24" s="35"/>
    </row>
    <row r="25" customFormat="1" spans="1:13">
      <c r="H25" s="10"/>
      <c r="K25" s="35"/>
      <c r="L25" s="35"/>
    </row>
    <row r="26" customFormat="1" spans="1:13">
      <c r="H26" s="10"/>
      <c r="K26" s="35"/>
      <c r="L26" s="35"/>
    </row>
    <row r="27" customFormat="1" spans="1:13">
      <c r="H27" s="10"/>
      <c r="K27" s="35"/>
      <c r="L27" s="35"/>
    </row>
    <row r="28" customFormat="1" spans="1:13">
      <c r="H28" s="10"/>
      <c r="K28" s="35"/>
      <c r="L28" s="35"/>
    </row>
    <row r="29" customFormat="1" spans="1:13">
      <c r="H29" s="10"/>
      <c r="K29" s="35"/>
      <c r="L29" s="35"/>
    </row>
    <row r="30" customFormat="1" spans="1:13">
      <c r="H30" s="10"/>
      <c r="K30" s="35"/>
      <c r="L30" s="35"/>
    </row>
    <row r="31" customFormat="1" spans="1:13">
      <c r="H31" s="10"/>
      <c r="K31" s="35"/>
      <c r="L31" s="35"/>
    </row>
    <row r="32" customFormat="1" spans="1:13">
      <c r="H32" s="10"/>
      <c r="K32" s="35"/>
      <c r="L32" s="35"/>
    </row>
    <row r="33" customFormat="1" spans="8:12">
      <c r="H33" s="10"/>
      <c r="K33" s="35"/>
      <c r="L33" s="35"/>
    </row>
  </sheetData>
  <protectedRanges>
    <protectedRange sqref="H13" name="区域1_1_2"/>
  </protectedRanges>
  <mergeCells count="6">
    <mergeCell ref="A1:G1"/>
    <mergeCell ref="B2:C2"/>
    <mergeCell ref="B3:C3"/>
    <mergeCell ref="D4:G4"/>
    <mergeCell ref="E8:E16"/>
    <mergeCell ref="D2:G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D10" sqref="D10"/>
    </sheetView>
  </sheetViews>
  <sheetFormatPr defaultColWidth="9" defaultRowHeight="13.5" outlineLevelCol="5"/>
  <cols>
    <col min="1" max="1" width="28.5" customWidth="1"/>
    <col min="2" max="2" width="13.7583333333333" customWidth="1"/>
    <col min="3" max="3" width="29.7583333333333" customWidth="1"/>
    <col min="4" max="4" width="12.2583333333333" customWidth="1"/>
    <col min="5" max="5" width="13.2583333333333" customWidth="1"/>
    <col min="6" max="6" width="14.5416666666667" customWidth="1"/>
  </cols>
  <sheetData>
    <row r="1" ht="41" customHeight="1" spans="1:6">
      <c r="A1" s="1" t="s">
        <v>64</v>
      </c>
      <c r="B1" s="1" t="s">
        <v>15</v>
      </c>
      <c r="C1" s="2" t="s">
        <v>65</v>
      </c>
      <c r="D1" s="3" t="s">
        <v>66</v>
      </c>
      <c r="E1" s="3" t="s">
        <v>67</v>
      </c>
      <c r="F1" s="4"/>
    </row>
    <row r="2" ht="18.75" spans="1:6">
      <c r="A2" s="1" t="s">
        <v>23</v>
      </c>
      <c r="B2" s="1">
        <v>86</v>
      </c>
      <c r="C2" s="1" t="s">
        <v>27</v>
      </c>
      <c r="D2" s="1">
        <v>2</v>
      </c>
      <c r="E2" s="1"/>
      <c r="F2" s="4"/>
    </row>
    <row r="3" ht="18.75" spans="1:6">
      <c r="A3" s="1" t="s">
        <v>30</v>
      </c>
      <c r="B3" s="1">
        <v>10</v>
      </c>
      <c r="C3" s="5" t="s">
        <v>33</v>
      </c>
      <c r="D3" s="5">
        <v>3</v>
      </c>
      <c r="E3" s="5"/>
      <c r="F3" s="4"/>
    </row>
    <row r="4" ht="18.75" spans="1:6">
      <c r="A4" s="1" t="s">
        <v>35</v>
      </c>
      <c r="B4" s="1">
        <v>49</v>
      </c>
      <c r="C4" s="6"/>
      <c r="D4" s="6"/>
      <c r="E4" s="6"/>
      <c r="F4" s="4"/>
    </row>
    <row r="5" ht="18.75" spans="1:6">
      <c r="A5" s="1" t="s">
        <v>39</v>
      </c>
      <c r="B5" s="1">
        <v>80</v>
      </c>
      <c r="C5" s="5" t="s">
        <v>42</v>
      </c>
      <c r="D5" s="5">
        <v>33</v>
      </c>
      <c r="E5" s="5"/>
      <c r="F5" s="4"/>
    </row>
    <row r="6" ht="18.75" spans="1:6">
      <c r="A6" s="1" t="s">
        <v>44</v>
      </c>
      <c r="B6" s="1">
        <v>86</v>
      </c>
      <c r="C6" s="7"/>
      <c r="D6" s="7"/>
      <c r="E6" s="7"/>
      <c r="F6" s="4"/>
    </row>
    <row r="7" ht="18.75" spans="1:6">
      <c r="A7" s="1" t="s">
        <v>47</v>
      </c>
      <c r="B7" s="1">
        <v>491</v>
      </c>
      <c r="C7" s="7"/>
      <c r="D7" s="7"/>
      <c r="E7" s="7"/>
      <c r="F7" s="4"/>
    </row>
    <row r="8" ht="18.75" spans="1:6">
      <c r="A8" s="1" t="s">
        <v>51</v>
      </c>
      <c r="B8" s="1">
        <v>675</v>
      </c>
      <c r="C8" s="7"/>
      <c r="D8" s="7"/>
      <c r="E8" s="7"/>
      <c r="F8" s="4"/>
    </row>
    <row r="9" ht="18.75" spans="1:6">
      <c r="A9" s="1" t="s">
        <v>55</v>
      </c>
      <c r="B9" s="1">
        <v>51</v>
      </c>
      <c r="C9" s="6"/>
      <c r="D9" s="6"/>
      <c r="E9" s="6"/>
      <c r="F9" s="4"/>
    </row>
    <row r="10" ht="18.75" spans="1:6">
      <c r="A10" s="1" t="s">
        <v>59</v>
      </c>
      <c r="B10" s="1">
        <v>227</v>
      </c>
      <c r="C10" s="1" t="s">
        <v>62</v>
      </c>
      <c r="D10" s="1">
        <v>2</v>
      </c>
      <c r="E10" s="1"/>
      <c r="F10" s="4"/>
    </row>
  </sheetData>
  <mergeCells count="6">
    <mergeCell ref="C3:C4"/>
    <mergeCell ref="C5:C9"/>
    <mergeCell ref="D3:D4"/>
    <mergeCell ref="D5:D9"/>
    <mergeCell ref="E3:E4"/>
    <mergeCell ref="E5:E9"/>
  </mergeCell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_1_2" rangeCreator="" othersAccessPermission="edit"/>
  </rangeList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派送表</vt:lpstr>
      <vt:lpstr>卸柜表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86133</dc:creator>
  <cp:lastModifiedBy>WPS_1603158590</cp:lastModifiedBy>
  <dcterms:created xsi:type="dcterms:W3CDTF">2021-04-15T09:21:00Z</dcterms:created>
  <dcterms:modified xsi:type="dcterms:W3CDTF">2026-02-03T12:46:35Z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2B208E4917294674A251D5CE19041496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